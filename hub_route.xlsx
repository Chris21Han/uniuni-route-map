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ris Han\OneDrive\Desktop\uniuni路由图\"/>
    </mc:Choice>
  </mc:AlternateContent>
  <xr:revisionPtr revIDLastSave="0" documentId="13_ncr:1_{78C4E65F-9597-4297-81CA-0BA17B09A69B}" xr6:coauthVersionLast="47" xr6:coauthVersionMax="47" xr10:uidLastSave="{00000000-0000-0000-0000-000000000000}"/>
  <bookViews>
    <workbookView xWindow="1452" yWindow="168" windowWidth="20244" windowHeight="11904" xr2:uid="{92819F8E-64BA-4D7C-AAED-BA612C1D64EA}"/>
  </bookViews>
  <sheets>
    <sheet name="Hub_Master" sheetId="1" r:id="rId1"/>
    <sheet name="Route_Master" sheetId="2" r:id="rId2"/>
    <sheet name="Region_Route" sheetId="3" r:id="rId3"/>
  </sheets>
  <definedNames>
    <definedName name="_xlnm._FilterDatabase" localSheetId="1" hidden="1">Route_Master!$B$1:$J$57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2" i="2"/>
</calcChain>
</file>

<file path=xl/sharedStrings.xml><?xml version="1.0" encoding="utf-8"?>
<sst xmlns="http://schemas.openxmlformats.org/spreadsheetml/2006/main" count="531" uniqueCount="83">
  <si>
    <t>Origin Region</t>
  </si>
  <si>
    <t>Hub</t>
  </si>
  <si>
    <t>Region</t>
  </si>
  <si>
    <t>Lat</t>
  </si>
  <si>
    <t>Lng</t>
  </si>
  <si>
    <t>Address</t>
  </si>
  <si>
    <t>EWR-936</t>
  </si>
  <si>
    <t>JFK</t>
  </si>
  <si>
    <t>936 Harrison Ave, Kearny, NJ 07032</t>
  </si>
  <si>
    <t>EWR-600</t>
  </si>
  <si>
    <t>600 Federal Dr, Carteret, NJ 07008</t>
  </si>
  <si>
    <t>175-14 147th Avenue, Jamaica NY 11434</t>
  </si>
  <si>
    <t>MIA</t>
  </si>
  <si>
    <t>5821 East 10th Ave, Hialeah, FL 33013</t>
  </si>
  <si>
    <t>ORD</t>
  </si>
  <si>
    <t>1211 Tower Rd, Schaumburg, IL</t>
  </si>
  <si>
    <t>LAX</t>
  </si>
  <si>
    <t>4885 E 52nd Pl, Vernon, CA</t>
  </si>
  <si>
    <t>16288 Boyle Ave, Fontana, CA</t>
  </si>
  <si>
    <t>DFW</t>
  </si>
  <si>
    <t>4450 W Walnut Hill Ln, Irving, TX</t>
  </si>
  <si>
    <t>12900 W Airport Blvd, Sugar Land, TX</t>
  </si>
  <si>
    <t>BAY</t>
  </si>
  <si>
    <t>44951 Industrial Dr, Fremont, CA</t>
  </si>
  <si>
    <t>ATL</t>
  </si>
  <si>
    <t>4411 Bibb Blvd, Tucker, GA</t>
  </si>
  <si>
    <t>SEA</t>
  </si>
  <si>
    <t>6626 S 228TH St, Kent, WA</t>
  </si>
  <si>
    <t>DEN</t>
  </si>
  <si>
    <t>4236 Carson Street, Denver, CO</t>
  </si>
  <si>
    <t>SLC</t>
  </si>
  <si>
    <t>2608 W Bridger Rd, Salt Lake City, UT</t>
  </si>
  <si>
    <t>Daily Capacity</t>
  </si>
  <si>
    <t>Status</t>
  </si>
  <si>
    <t>Active</t>
  </si>
  <si>
    <t>Hub Level</t>
  </si>
  <si>
    <t>Origin Hub</t>
  </si>
  <si>
    <t>Destination Region</t>
  </si>
  <si>
    <t>Destination Hub</t>
  </si>
  <si>
    <t>Route Type</t>
  </si>
  <si>
    <t>LAX16288</t>
  </si>
  <si>
    <t>EWR600</t>
  </si>
  <si>
    <t>LAX4885</t>
  </si>
  <si>
    <t>EWR936</t>
  </si>
  <si>
    <t>DEN,SLC</t>
  </si>
  <si>
    <t>LAX/SEA/BAY</t>
  </si>
  <si>
    <t>DFW/DEN/SLC</t>
  </si>
  <si>
    <t>DFW，DEN，SLC</t>
  </si>
  <si>
    <t>BAY，LAX，SEA</t>
  </si>
  <si>
    <t>LAX-BAY-SEA</t>
  </si>
  <si>
    <t>JFK, ORD, DFW, ATL, MIA, DEN, SLC</t>
  </si>
  <si>
    <t>LAX,BAY,SEA</t>
  </si>
  <si>
    <t>DFW, DEN, SLC</t>
  </si>
  <si>
    <t>ATL, MIA</t>
  </si>
  <si>
    <t>LAX,SEA,BAY</t>
  </si>
  <si>
    <t>DEN, SLC</t>
  </si>
  <si>
    <t>DEN，SLC，DFW其他大区</t>
  </si>
  <si>
    <t>除了JFK以外的其他全部大区</t>
  </si>
  <si>
    <t>除了SEA，其余所有大区货物</t>
  </si>
  <si>
    <t>DFW445</t>
  </si>
  <si>
    <t>IAH129</t>
  </si>
  <si>
    <t>JFK175</t>
  </si>
  <si>
    <t>Inter-Region</t>
  </si>
  <si>
    <t>Intra-Region</t>
  </si>
  <si>
    <t>Route ID</t>
  </si>
  <si>
    <t>Cargo Notes</t>
  </si>
  <si>
    <t>Display Name</t>
  </si>
  <si>
    <t>JFK-175</t>
  </si>
  <si>
    <t>LAX-4885</t>
  </si>
  <si>
    <t>LAX-16288</t>
  </si>
  <si>
    <t>DFW-445</t>
  </si>
  <si>
    <t>IAH-129</t>
  </si>
  <si>
    <t>Current Maximum Capacity</t>
  </si>
  <si>
    <t>Sorting Mode</t>
  </si>
  <si>
    <t>Manual Sorting</t>
  </si>
  <si>
    <t>Libiao Sorting Machine</t>
  </si>
  <si>
    <t>Libiao Sorting Machine + 4 Manual Sorting</t>
  </si>
  <si>
    <t>Manual Sorting 
(SmartSort Machine Currently Idle)</t>
  </si>
  <si>
    <t>Manual Sorting + SmartSort Machine</t>
  </si>
  <si>
    <t>Manual Sorting
 (Libiao Sorting Machine / SmartSort Machine Currently Idle)</t>
  </si>
  <si>
    <t>Libiao Sorting Machine + Manual Sorting</t>
  </si>
  <si>
    <t>Libiao Sorting Machine + 1 Manual Sorting Team (8 Operators)
 (Libiao Sorting Machine Idle)</t>
  </si>
  <si>
    <t>Libiao Sorting Machine +1  Large Parcel Manual Sorting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</si>
</sst>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0" xfId="0" applyFont="1"/>
    <xf numFmtId="0" fontId="5" fillId="0" borderId="0" xfId="0" applyFont="1"/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873B-1806-4D3C-90E9-83E28EEFE8E9}">
  <dimension ref="A1:K16"/>
  <sheetViews>
    <sheetView tabSelected="1" workbookViewId="0">
      <selection activeCell="K9" sqref="K9"/>
    </sheetView>
  </sheetViews>
  <sheetFormatPr defaultRowHeight="14.4" x14ac:dyDescent="0.3"/>
  <cols>
    <col min="1" max="2" width="12.88671875" customWidth="1"/>
    <col min="7" max="7" width="34" bestFit="1" customWidth="1"/>
    <col min="8" max="8" width="13.109375" bestFit="1" customWidth="1"/>
    <col min="10" max="10" width="14.109375" customWidth="1"/>
    <col min="11" max="11" width="32.44140625" customWidth="1"/>
  </cols>
  <sheetData>
    <row r="1" spans="1:11" ht="43.2" x14ac:dyDescent="0.3">
      <c r="A1" s="1" t="s">
        <v>1</v>
      </c>
      <c r="B1" s="1" t="s">
        <v>66</v>
      </c>
      <c r="C1" s="1" t="s">
        <v>2</v>
      </c>
      <c r="D1" s="1" t="s">
        <v>35</v>
      </c>
      <c r="E1" s="1" t="s">
        <v>3</v>
      </c>
      <c r="F1" s="1" t="s">
        <v>4</v>
      </c>
      <c r="G1" s="1" t="s">
        <v>5</v>
      </c>
      <c r="H1" s="1" t="s">
        <v>32</v>
      </c>
      <c r="I1" s="1" t="s">
        <v>33</v>
      </c>
      <c r="J1" s="1" t="s">
        <v>72</v>
      </c>
      <c r="K1" s="1" t="s">
        <v>73</v>
      </c>
    </row>
    <row r="2" spans="1:11" ht="28.8" x14ac:dyDescent="0.3">
      <c r="A2" s="2" t="s">
        <v>43</v>
      </c>
      <c r="B2" s="2" t="s">
        <v>6</v>
      </c>
      <c r="C2" s="2" t="s">
        <v>7</v>
      </c>
      <c r="D2" s="2">
        <v>1</v>
      </c>
      <c r="E2" s="2">
        <v>40.747999999999998</v>
      </c>
      <c r="F2" s="2">
        <v>-74.3</v>
      </c>
      <c r="G2" s="2" t="s">
        <v>8</v>
      </c>
      <c r="H2" s="2">
        <v>60715</v>
      </c>
      <c r="I2" t="s">
        <v>34</v>
      </c>
      <c r="J2" s="9">
        <v>250000</v>
      </c>
      <c r="K2" s="2" t="s">
        <v>77</v>
      </c>
    </row>
    <row r="3" spans="1:11" x14ac:dyDescent="0.3">
      <c r="A3" s="2" t="s">
        <v>41</v>
      </c>
      <c r="B3" s="2" t="s">
        <v>9</v>
      </c>
      <c r="C3" s="2" t="s">
        <v>7</v>
      </c>
      <c r="D3" s="2">
        <v>1</v>
      </c>
      <c r="E3" s="2">
        <v>40.582999999999998</v>
      </c>
      <c r="F3" s="2">
        <v>-74.150000000000006</v>
      </c>
      <c r="G3" s="2" t="s">
        <v>10</v>
      </c>
      <c r="H3" s="2">
        <v>208572</v>
      </c>
      <c r="I3" t="s">
        <v>34</v>
      </c>
      <c r="J3" s="9">
        <v>230000</v>
      </c>
      <c r="K3" s="2" t="s">
        <v>75</v>
      </c>
    </row>
    <row r="4" spans="1:11" x14ac:dyDescent="0.3">
      <c r="A4" s="2" t="s">
        <v>61</v>
      </c>
      <c r="B4" s="2" t="s">
        <v>67</v>
      </c>
      <c r="C4" s="2" t="s">
        <v>7</v>
      </c>
      <c r="D4" s="2">
        <v>2</v>
      </c>
      <c r="E4" s="2">
        <v>40.659999999999997</v>
      </c>
      <c r="F4" s="2">
        <v>-73.75</v>
      </c>
      <c r="G4" s="2" t="s">
        <v>11</v>
      </c>
      <c r="H4" s="2">
        <v>6429</v>
      </c>
      <c r="I4" t="s">
        <v>34</v>
      </c>
      <c r="J4" s="9">
        <v>100000</v>
      </c>
      <c r="K4" s="2" t="s">
        <v>74</v>
      </c>
    </row>
    <row r="5" spans="1:11" x14ac:dyDescent="0.3">
      <c r="A5" s="2" t="s">
        <v>12</v>
      </c>
      <c r="B5" s="2" t="s">
        <v>12</v>
      </c>
      <c r="C5" s="2" t="s">
        <v>12</v>
      </c>
      <c r="D5" s="2">
        <v>2</v>
      </c>
      <c r="E5" s="2">
        <v>25.83</v>
      </c>
      <c r="F5" s="2">
        <v>-80.27</v>
      </c>
      <c r="G5" s="2" t="s">
        <v>13</v>
      </c>
      <c r="H5" s="2">
        <v>64286</v>
      </c>
      <c r="I5" t="s">
        <v>34</v>
      </c>
      <c r="J5" s="9">
        <v>150000</v>
      </c>
      <c r="K5" s="2" t="s">
        <v>75</v>
      </c>
    </row>
    <row r="6" spans="1:11" ht="28.8" x14ac:dyDescent="0.3">
      <c r="A6" s="2" t="s">
        <v>14</v>
      </c>
      <c r="B6" s="2" t="s">
        <v>14</v>
      </c>
      <c r="C6" s="2" t="s">
        <v>14</v>
      </c>
      <c r="D6" s="2">
        <v>1</v>
      </c>
      <c r="E6" s="2">
        <v>41.99</v>
      </c>
      <c r="F6" s="2">
        <v>-88.08</v>
      </c>
      <c r="G6" s="2" t="s">
        <v>15</v>
      </c>
      <c r="H6" s="2">
        <v>190000</v>
      </c>
      <c r="I6" t="s">
        <v>34</v>
      </c>
      <c r="J6" s="9">
        <v>250000</v>
      </c>
      <c r="K6" s="2" t="s">
        <v>76</v>
      </c>
    </row>
    <row r="7" spans="1:11" x14ac:dyDescent="0.3">
      <c r="A7" t="s">
        <v>42</v>
      </c>
      <c r="B7" t="s">
        <v>68</v>
      </c>
      <c r="C7" s="2" t="s">
        <v>16</v>
      </c>
      <c r="D7" s="2">
        <v>1</v>
      </c>
      <c r="E7" s="2">
        <v>33.99</v>
      </c>
      <c r="F7" s="2">
        <v>-118.18</v>
      </c>
      <c r="G7" s="2" t="s">
        <v>17</v>
      </c>
      <c r="H7" s="2">
        <v>232858</v>
      </c>
      <c r="I7" t="s">
        <v>34</v>
      </c>
      <c r="J7" s="9">
        <v>350000</v>
      </c>
      <c r="K7" s="2" t="s">
        <v>78</v>
      </c>
    </row>
    <row r="8" spans="1:11" ht="28.8" x14ac:dyDescent="0.3">
      <c r="A8" t="s">
        <v>40</v>
      </c>
      <c r="B8" t="s">
        <v>69</v>
      </c>
      <c r="C8" s="2" t="s">
        <v>16</v>
      </c>
      <c r="D8" s="2">
        <v>1</v>
      </c>
      <c r="E8" s="2">
        <v>34.200000000000003</v>
      </c>
      <c r="F8" s="2">
        <v>-117.2</v>
      </c>
      <c r="G8" s="2" t="s">
        <v>18</v>
      </c>
      <c r="H8" s="2">
        <v>194286</v>
      </c>
      <c r="I8" t="s">
        <v>34</v>
      </c>
      <c r="J8" s="9">
        <v>230000</v>
      </c>
      <c r="K8" s="2" t="s">
        <v>82</v>
      </c>
    </row>
    <row r="9" spans="1:11" x14ac:dyDescent="0.3">
      <c r="A9" s="2" t="s">
        <v>59</v>
      </c>
      <c r="B9" s="2" t="s">
        <v>70</v>
      </c>
      <c r="C9" s="2" t="s">
        <v>19</v>
      </c>
      <c r="D9" s="2">
        <v>1</v>
      </c>
      <c r="E9" s="2">
        <v>32.880000000000003</v>
      </c>
      <c r="F9" s="2">
        <v>-96.94</v>
      </c>
      <c r="G9" s="2" t="s">
        <v>20</v>
      </c>
      <c r="H9" s="2">
        <v>107143</v>
      </c>
      <c r="I9" t="s">
        <v>34</v>
      </c>
      <c r="J9" s="9">
        <v>180000</v>
      </c>
      <c r="K9" s="2" t="s">
        <v>75</v>
      </c>
    </row>
    <row r="10" spans="1:11" x14ac:dyDescent="0.3">
      <c r="A10" s="2" t="s">
        <v>60</v>
      </c>
      <c r="B10" s="2" t="s">
        <v>71</v>
      </c>
      <c r="C10" s="2" t="s">
        <v>19</v>
      </c>
      <c r="D10" s="2">
        <v>2</v>
      </c>
      <c r="E10" s="2">
        <v>29.62</v>
      </c>
      <c r="F10" s="2">
        <v>-95.64</v>
      </c>
      <c r="G10" s="2" t="s">
        <v>21</v>
      </c>
      <c r="H10" s="2">
        <v>68286</v>
      </c>
      <c r="I10" t="s">
        <v>34</v>
      </c>
      <c r="J10" s="9">
        <v>150000</v>
      </c>
      <c r="K10" s="2" t="s">
        <v>74</v>
      </c>
    </row>
    <row r="11" spans="1:11" ht="43.2" x14ac:dyDescent="0.3">
      <c r="A11" s="2" t="s">
        <v>22</v>
      </c>
      <c r="B11" s="2" t="s">
        <v>22</v>
      </c>
      <c r="C11" s="2" t="s">
        <v>22</v>
      </c>
      <c r="D11" s="2">
        <v>1</v>
      </c>
      <c r="E11" s="2">
        <v>37.49</v>
      </c>
      <c r="F11" s="2">
        <v>-121.98</v>
      </c>
      <c r="G11" s="2" t="s">
        <v>23</v>
      </c>
      <c r="H11" s="2">
        <v>112172</v>
      </c>
      <c r="I11" t="s">
        <v>34</v>
      </c>
      <c r="J11" s="9">
        <v>190000</v>
      </c>
      <c r="K11" s="2" t="s">
        <v>79</v>
      </c>
    </row>
    <row r="12" spans="1:11" ht="43.2" x14ac:dyDescent="0.3">
      <c r="A12" s="2" t="s">
        <v>24</v>
      </c>
      <c r="B12" s="2" t="s">
        <v>24</v>
      </c>
      <c r="C12" s="2" t="s">
        <v>24</v>
      </c>
      <c r="D12" s="2">
        <v>1</v>
      </c>
      <c r="E12" s="2">
        <v>33.86</v>
      </c>
      <c r="F12" s="2">
        <v>-84.22</v>
      </c>
      <c r="G12" s="2" t="s">
        <v>25</v>
      </c>
      <c r="H12" s="2">
        <v>110000</v>
      </c>
      <c r="I12" t="s">
        <v>34</v>
      </c>
      <c r="J12" s="9">
        <v>200000</v>
      </c>
      <c r="K12" s="2" t="s">
        <v>81</v>
      </c>
    </row>
    <row r="13" spans="1:11" x14ac:dyDescent="0.3">
      <c r="A13" s="2" t="s">
        <v>26</v>
      </c>
      <c r="B13" s="2" t="s">
        <v>26</v>
      </c>
      <c r="C13" s="2" t="s">
        <v>26</v>
      </c>
      <c r="D13" s="2">
        <v>2</v>
      </c>
      <c r="E13" s="2">
        <v>47.39</v>
      </c>
      <c r="F13" s="2">
        <v>-122.26</v>
      </c>
      <c r="G13" s="2" t="s">
        <v>27</v>
      </c>
      <c r="H13" s="2">
        <v>37715</v>
      </c>
      <c r="I13" t="s">
        <v>34</v>
      </c>
      <c r="J13" s="9">
        <v>100000</v>
      </c>
      <c r="K13" s="2" t="s">
        <v>74</v>
      </c>
    </row>
    <row r="14" spans="1:11" ht="28.8" x14ac:dyDescent="0.3">
      <c r="A14" s="2" t="s">
        <v>28</v>
      </c>
      <c r="B14" s="2" t="s">
        <v>28</v>
      </c>
      <c r="C14" s="2" t="s">
        <v>28</v>
      </c>
      <c r="D14" s="2">
        <v>2</v>
      </c>
      <c r="E14" s="2">
        <v>39.78</v>
      </c>
      <c r="F14" s="2">
        <v>-104.83</v>
      </c>
      <c r="G14" s="2" t="s">
        <v>29</v>
      </c>
      <c r="H14" s="2">
        <v>20715</v>
      </c>
      <c r="I14" t="s">
        <v>34</v>
      </c>
      <c r="J14" s="9">
        <v>40000</v>
      </c>
      <c r="K14" s="2" t="s">
        <v>80</v>
      </c>
    </row>
    <row r="15" spans="1:11" ht="28.8" x14ac:dyDescent="0.3">
      <c r="A15" s="2" t="s">
        <v>30</v>
      </c>
      <c r="B15" s="2" t="s">
        <v>30</v>
      </c>
      <c r="C15" s="2" t="s">
        <v>28</v>
      </c>
      <c r="D15" s="2">
        <v>2</v>
      </c>
      <c r="E15" s="2">
        <v>40.75</v>
      </c>
      <c r="F15" s="2">
        <v>-111.96</v>
      </c>
      <c r="G15" s="2" t="s">
        <v>31</v>
      </c>
      <c r="H15" s="2">
        <v>14429</v>
      </c>
      <c r="I15" t="s">
        <v>34</v>
      </c>
      <c r="J15" s="9">
        <v>45000</v>
      </c>
      <c r="K15" s="2" t="s">
        <v>80</v>
      </c>
    </row>
    <row r="16" spans="1:11" x14ac:dyDescent="0.3">
      <c r="J16" s="2"/>
    </row>
  </sheetData>
  <pageMargins left="0.7" right="0.7" top="0.75" bottom="0.75" header="0.3" footer="0.3"/>
  <pageSetup paperSize="142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CA26-33FC-4CC0-915B-9AA070629783}">
  <dimension ref="A1:H57"/>
  <sheetViews>
    <sheetView workbookViewId="0">
      <selection activeCell="B17" sqref="B17"/>
    </sheetView>
  </sheetViews>
  <sheetFormatPr defaultRowHeight="14.4" x14ac:dyDescent="0.3"/>
  <cols>
    <col min="1" max="1" width="37.5546875" bestFit="1" customWidth="1"/>
    <col min="2" max="2" width="16.33203125" bestFit="1" customWidth="1"/>
    <col min="3" max="3" width="10.6640625" customWidth="1"/>
    <col min="4" max="4" width="18.88671875" customWidth="1"/>
    <col min="5" max="5" width="15.6640625" customWidth="1"/>
    <col min="6" max="6" width="11.6640625" customWidth="1"/>
    <col min="8" max="8" width="29.77734375" customWidth="1"/>
  </cols>
  <sheetData>
    <row r="1" spans="1:8" ht="15" thickBot="1" x14ac:dyDescent="0.35">
      <c r="A1" t="s">
        <v>64</v>
      </c>
      <c r="B1" s="1" t="s">
        <v>0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33</v>
      </c>
      <c r="H1" t="s">
        <v>65</v>
      </c>
    </row>
    <row r="2" spans="1:8" ht="15" thickBot="1" x14ac:dyDescent="0.35">
      <c r="A2" t="str">
        <f>C2&amp;"_"&amp;E2</f>
        <v>LAX16288_EWR600</v>
      </c>
      <c r="B2" s="3" t="s">
        <v>16</v>
      </c>
      <c r="C2" s="3" t="s">
        <v>40</v>
      </c>
      <c r="D2" s="3" t="s">
        <v>7</v>
      </c>
      <c r="E2" s="3" t="s">
        <v>41</v>
      </c>
      <c r="F2" t="s">
        <v>62</v>
      </c>
      <c r="G2" s="2" t="s">
        <v>34</v>
      </c>
      <c r="H2" s="4"/>
    </row>
    <row r="3" spans="1:8" ht="15" thickBot="1" x14ac:dyDescent="0.35">
      <c r="A3" t="str">
        <f t="shared" ref="A3:A57" si="0">C3&amp;"_"&amp;E3</f>
        <v>LAX16288_ORD</v>
      </c>
      <c r="B3" s="5" t="s">
        <v>16</v>
      </c>
      <c r="C3" s="5" t="s">
        <v>40</v>
      </c>
      <c r="D3" s="5" t="s">
        <v>14</v>
      </c>
      <c r="E3" s="5" t="s">
        <v>14</v>
      </c>
      <c r="F3" t="s">
        <v>62</v>
      </c>
      <c r="G3" s="2" t="s">
        <v>34</v>
      </c>
      <c r="H3" s="6"/>
    </row>
    <row r="4" spans="1:8" ht="15" thickBot="1" x14ac:dyDescent="0.35">
      <c r="A4" t="str">
        <f t="shared" si="0"/>
        <v>LAX16288_DFW445</v>
      </c>
      <c r="B4" s="3" t="s">
        <v>16</v>
      </c>
      <c r="C4" s="3" t="s">
        <v>40</v>
      </c>
      <c r="D4" s="3" t="s">
        <v>19</v>
      </c>
      <c r="E4" s="5" t="s">
        <v>59</v>
      </c>
      <c r="F4" t="s">
        <v>62</v>
      </c>
      <c r="G4" s="2" t="s">
        <v>34</v>
      </c>
      <c r="H4" s="4"/>
    </row>
    <row r="5" spans="1:8" ht="15" thickBot="1" x14ac:dyDescent="0.35">
      <c r="A5" t="str">
        <f t="shared" si="0"/>
        <v>LAX16288_ATL</v>
      </c>
      <c r="B5" s="5" t="s">
        <v>16</v>
      </c>
      <c r="C5" s="5" t="s">
        <v>40</v>
      </c>
      <c r="D5" s="5" t="s">
        <v>24</v>
      </c>
      <c r="E5" s="5" t="s">
        <v>24</v>
      </c>
      <c r="F5" t="s">
        <v>62</v>
      </c>
      <c r="G5" s="2" t="s">
        <v>34</v>
      </c>
      <c r="H5" s="6"/>
    </row>
    <row r="6" spans="1:8" ht="15" thickBot="1" x14ac:dyDescent="0.35">
      <c r="A6" t="str">
        <f t="shared" si="0"/>
        <v>LAX16288_MIA</v>
      </c>
      <c r="B6" s="3" t="s">
        <v>16</v>
      </c>
      <c r="C6" s="3" t="s">
        <v>40</v>
      </c>
      <c r="D6" s="3" t="s">
        <v>12</v>
      </c>
      <c r="E6" s="3" t="s">
        <v>12</v>
      </c>
      <c r="F6" t="s">
        <v>62</v>
      </c>
      <c r="G6" s="2" t="s">
        <v>34</v>
      </c>
      <c r="H6" s="4"/>
    </row>
    <row r="7" spans="1:8" ht="15" thickBot="1" x14ac:dyDescent="0.35">
      <c r="A7" t="str">
        <f t="shared" si="0"/>
        <v>LAX16288_SEA</v>
      </c>
      <c r="B7" s="5" t="s">
        <v>16</v>
      </c>
      <c r="C7" s="5" t="s">
        <v>40</v>
      </c>
      <c r="D7" s="5" t="s">
        <v>26</v>
      </c>
      <c r="E7" s="5" t="s">
        <v>26</v>
      </c>
      <c r="F7" t="s">
        <v>62</v>
      </c>
      <c r="G7" s="2" t="s">
        <v>34</v>
      </c>
      <c r="H7" s="6"/>
    </row>
    <row r="8" spans="1:8" ht="15" thickBot="1" x14ac:dyDescent="0.35">
      <c r="A8" t="str">
        <f t="shared" si="0"/>
        <v>LAX16288_BAY</v>
      </c>
      <c r="B8" s="3" t="s">
        <v>16</v>
      </c>
      <c r="C8" s="3" t="s">
        <v>40</v>
      </c>
      <c r="D8" s="3" t="s">
        <v>22</v>
      </c>
      <c r="E8" s="3" t="s">
        <v>22</v>
      </c>
      <c r="F8" t="s">
        <v>62</v>
      </c>
      <c r="G8" s="2" t="s">
        <v>34</v>
      </c>
      <c r="H8" s="4"/>
    </row>
    <row r="9" spans="1:8" ht="15" thickBot="1" x14ac:dyDescent="0.35">
      <c r="A9" t="str">
        <f t="shared" si="0"/>
        <v>LAX16288_DEN</v>
      </c>
      <c r="B9" s="5" t="s">
        <v>16</v>
      </c>
      <c r="C9" s="5" t="s">
        <v>40</v>
      </c>
      <c r="D9" s="5" t="s">
        <v>28</v>
      </c>
      <c r="E9" s="5" t="s">
        <v>28</v>
      </c>
      <c r="F9" t="s">
        <v>62</v>
      </c>
      <c r="G9" s="2" t="s">
        <v>34</v>
      </c>
      <c r="H9" s="5" t="s">
        <v>44</v>
      </c>
    </row>
    <row r="10" spans="1:8" ht="15" thickBot="1" x14ac:dyDescent="0.35">
      <c r="A10" t="str">
        <f t="shared" si="0"/>
        <v>LAX16288_SLC</v>
      </c>
      <c r="B10" s="3" t="s">
        <v>16</v>
      </c>
      <c r="C10" s="3" t="s">
        <v>40</v>
      </c>
      <c r="D10" s="3" t="s">
        <v>30</v>
      </c>
      <c r="E10" s="3" t="s">
        <v>30</v>
      </c>
      <c r="F10" t="s">
        <v>62</v>
      </c>
      <c r="G10" s="2" t="s">
        <v>34</v>
      </c>
      <c r="H10" s="4"/>
    </row>
    <row r="11" spans="1:8" ht="15" thickBot="1" x14ac:dyDescent="0.35">
      <c r="A11" t="str">
        <f t="shared" si="0"/>
        <v>LAX4885_EWR600</v>
      </c>
      <c r="B11" s="5" t="s">
        <v>16</v>
      </c>
      <c r="C11" s="5" t="s">
        <v>42</v>
      </c>
      <c r="D11" s="5" t="s">
        <v>7</v>
      </c>
      <c r="E11" s="5" t="s">
        <v>41</v>
      </c>
      <c r="F11" t="s">
        <v>62</v>
      </c>
      <c r="G11" s="2" t="s">
        <v>34</v>
      </c>
      <c r="H11" s="6"/>
    </row>
    <row r="12" spans="1:8" ht="15" thickBot="1" x14ac:dyDescent="0.35">
      <c r="A12" t="str">
        <f t="shared" si="0"/>
        <v>LAX4885_ORD</v>
      </c>
      <c r="B12" s="3" t="s">
        <v>16</v>
      </c>
      <c r="C12" s="3" t="s">
        <v>42</v>
      </c>
      <c r="D12" s="3" t="s">
        <v>14</v>
      </c>
      <c r="E12" s="3" t="s">
        <v>14</v>
      </c>
      <c r="F12" t="s">
        <v>62</v>
      </c>
      <c r="G12" s="2" t="s">
        <v>34</v>
      </c>
      <c r="H12" s="4"/>
    </row>
    <row r="13" spans="1:8" ht="15" thickBot="1" x14ac:dyDescent="0.35">
      <c r="A13" t="str">
        <f t="shared" si="0"/>
        <v>LAX4885_DFW445</v>
      </c>
      <c r="B13" s="5" t="s">
        <v>16</v>
      </c>
      <c r="C13" s="5" t="s">
        <v>42</v>
      </c>
      <c r="D13" s="5" t="s">
        <v>19</v>
      </c>
      <c r="E13" s="5" t="s">
        <v>59</v>
      </c>
      <c r="F13" t="s">
        <v>62</v>
      </c>
      <c r="G13" s="2" t="s">
        <v>34</v>
      </c>
      <c r="H13" s="6"/>
    </row>
    <row r="14" spans="1:8" ht="15" thickBot="1" x14ac:dyDescent="0.35">
      <c r="A14" t="str">
        <f t="shared" si="0"/>
        <v>LAX4885_ATL</v>
      </c>
      <c r="B14" s="3" t="s">
        <v>16</v>
      </c>
      <c r="C14" s="3" t="s">
        <v>42</v>
      </c>
      <c r="D14" s="3" t="s">
        <v>24</v>
      </c>
      <c r="E14" s="3" t="s">
        <v>24</v>
      </c>
      <c r="F14" t="s">
        <v>62</v>
      </c>
      <c r="G14" s="2" t="s">
        <v>34</v>
      </c>
      <c r="H14" s="4"/>
    </row>
    <row r="15" spans="1:8" ht="15" thickBot="1" x14ac:dyDescent="0.35">
      <c r="A15" t="str">
        <f t="shared" si="0"/>
        <v>LAX4885_MIA</v>
      </c>
      <c r="B15" s="5" t="s">
        <v>16</v>
      </c>
      <c r="C15" s="5" t="s">
        <v>42</v>
      </c>
      <c r="D15" s="5" t="s">
        <v>12</v>
      </c>
      <c r="E15" s="5" t="s">
        <v>12</v>
      </c>
      <c r="F15" t="s">
        <v>62</v>
      </c>
      <c r="G15" s="2" t="s">
        <v>34</v>
      </c>
      <c r="H15" s="6"/>
    </row>
    <row r="16" spans="1:8" ht="15" thickBot="1" x14ac:dyDescent="0.35">
      <c r="A16" t="str">
        <f t="shared" si="0"/>
        <v>LAX4885_SEA</v>
      </c>
      <c r="B16" s="3" t="s">
        <v>16</v>
      </c>
      <c r="C16" s="3" t="s">
        <v>42</v>
      </c>
      <c r="D16" s="3" t="s">
        <v>26</v>
      </c>
      <c r="E16" s="3" t="s">
        <v>26</v>
      </c>
      <c r="F16" t="s">
        <v>62</v>
      </c>
      <c r="G16" s="2" t="s">
        <v>34</v>
      </c>
      <c r="H16" s="4"/>
    </row>
    <row r="17" spans="1:8" ht="15" thickBot="1" x14ac:dyDescent="0.35">
      <c r="A17" t="str">
        <f t="shared" si="0"/>
        <v>LAX4885_BAY</v>
      </c>
      <c r="B17" s="5" t="s">
        <v>16</v>
      </c>
      <c r="C17" s="5" t="s">
        <v>42</v>
      </c>
      <c r="D17" s="5" t="s">
        <v>22</v>
      </c>
      <c r="E17" s="5" t="s">
        <v>22</v>
      </c>
      <c r="F17" t="s">
        <v>62</v>
      </c>
      <c r="G17" s="2" t="s">
        <v>34</v>
      </c>
      <c r="H17" s="6"/>
    </row>
    <row r="18" spans="1:8" ht="15" thickBot="1" x14ac:dyDescent="0.35">
      <c r="A18" t="str">
        <f t="shared" si="0"/>
        <v>LAX4885_LAX16288</v>
      </c>
      <c r="B18" s="3" t="s">
        <v>16</v>
      </c>
      <c r="C18" s="3" t="s">
        <v>42</v>
      </c>
      <c r="D18" s="3" t="s">
        <v>16</v>
      </c>
      <c r="E18" s="3" t="s">
        <v>40</v>
      </c>
      <c r="F18" t="s">
        <v>63</v>
      </c>
      <c r="G18" s="2" t="s">
        <v>34</v>
      </c>
      <c r="H18" s="4"/>
    </row>
    <row r="19" spans="1:8" ht="15" thickBot="1" x14ac:dyDescent="0.35">
      <c r="A19" t="str">
        <f t="shared" si="0"/>
        <v>ATL_EWR600</v>
      </c>
      <c r="B19" s="5" t="s">
        <v>24</v>
      </c>
      <c r="C19" s="5" t="s">
        <v>24</v>
      </c>
      <c r="D19" s="5" t="s">
        <v>7</v>
      </c>
      <c r="E19" s="5" t="s">
        <v>41</v>
      </c>
      <c r="F19" t="s">
        <v>62</v>
      </c>
      <c r="G19" s="2" t="s">
        <v>34</v>
      </c>
      <c r="H19" s="6"/>
    </row>
    <row r="20" spans="1:8" ht="15" thickBot="1" x14ac:dyDescent="0.35">
      <c r="A20" t="str">
        <f t="shared" si="0"/>
        <v>ATL_LAX16288</v>
      </c>
      <c r="B20" s="3" t="s">
        <v>24</v>
      </c>
      <c r="C20" s="5" t="s">
        <v>24</v>
      </c>
      <c r="D20" s="3" t="s">
        <v>16</v>
      </c>
      <c r="E20" s="3" t="s">
        <v>40</v>
      </c>
      <c r="F20" t="s">
        <v>62</v>
      </c>
      <c r="G20" s="2" t="s">
        <v>34</v>
      </c>
      <c r="H20" s="3" t="s">
        <v>45</v>
      </c>
    </row>
    <row r="21" spans="1:8" ht="15" thickBot="1" x14ac:dyDescent="0.35">
      <c r="A21" t="str">
        <f t="shared" si="0"/>
        <v>ATL_DFW445</v>
      </c>
      <c r="B21" s="5" t="s">
        <v>24</v>
      </c>
      <c r="C21" s="5" t="s">
        <v>24</v>
      </c>
      <c r="D21" s="5" t="s">
        <v>19</v>
      </c>
      <c r="E21" s="5" t="s">
        <v>59</v>
      </c>
      <c r="F21" t="s">
        <v>62</v>
      </c>
      <c r="G21" s="2" t="s">
        <v>34</v>
      </c>
      <c r="H21" s="5" t="s">
        <v>46</v>
      </c>
    </row>
    <row r="22" spans="1:8" ht="15" thickBot="1" x14ac:dyDescent="0.35">
      <c r="A22" t="str">
        <f t="shared" si="0"/>
        <v>ATL_MIA</v>
      </c>
      <c r="B22" s="3" t="s">
        <v>24</v>
      </c>
      <c r="C22" s="5" t="s">
        <v>24</v>
      </c>
      <c r="D22" s="3" t="s">
        <v>12</v>
      </c>
      <c r="E22" s="3" t="s">
        <v>12</v>
      </c>
      <c r="F22" t="s">
        <v>62</v>
      </c>
      <c r="G22" s="2" t="s">
        <v>34</v>
      </c>
      <c r="H22" s="4"/>
    </row>
    <row r="23" spans="1:8" ht="15" thickBot="1" x14ac:dyDescent="0.35">
      <c r="A23" t="str">
        <f t="shared" si="0"/>
        <v>ATL_ORD</v>
      </c>
      <c r="B23" s="5" t="s">
        <v>24</v>
      </c>
      <c r="C23" s="5" t="s">
        <v>24</v>
      </c>
      <c r="D23" s="5" t="s">
        <v>14</v>
      </c>
      <c r="E23" s="5" t="s">
        <v>14</v>
      </c>
      <c r="F23" t="s">
        <v>62</v>
      </c>
      <c r="G23" s="2" t="s">
        <v>34</v>
      </c>
      <c r="H23" s="6"/>
    </row>
    <row r="24" spans="1:8" ht="15" thickBot="1" x14ac:dyDescent="0.35">
      <c r="A24" t="str">
        <f t="shared" si="0"/>
        <v>EWR936_ORD</v>
      </c>
      <c r="B24" s="3" t="s">
        <v>7</v>
      </c>
      <c r="C24" s="3" t="s">
        <v>43</v>
      </c>
      <c r="D24" s="3" t="s">
        <v>14</v>
      </c>
      <c r="E24" s="3" t="s">
        <v>14</v>
      </c>
      <c r="F24" t="s">
        <v>62</v>
      </c>
      <c r="G24" s="2" t="s">
        <v>34</v>
      </c>
      <c r="H24" s="4"/>
    </row>
    <row r="25" spans="1:8" ht="15" thickBot="1" x14ac:dyDescent="0.35">
      <c r="A25" t="str">
        <f t="shared" si="0"/>
        <v>EWR936_DFW445</v>
      </c>
      <c r="B25" s="5" t="s">
        <v>7</v>
      </c>
      <c r="C25" s="5" t="s">
        <v>43</v>
      </c>
      <c r="D25" s="5" t="s">
        <v>19</v>
      </c>
      <c r="E25" s="5" t="s">
        <v>59</v>
      </c>
      <c r="F25" t="s">
        <v>62</v>
      </c>
      <c r="G25" s="2" t="s">
        <v>34</v>
      </c>
      <c r="H25" s="5" t="s">
        <v>47</v>
      </c>
    </row>
    <row r="26" spans="1:8" ht="15" thickBot="1" x14ac:dyDescent="0.35">
      <c r="A26" t="str">
        <f t="shared" si="0"/>
        <v>EWR936_ATL</v>
      </c>
      <c r="B26" s="3" t="s">
        <v>7</v>
      </c>
      <c r="C26" s="3" t="s">
        <v>43</v>
      </c>
      <c r="D26" s="3" t="s">
        <v>24</v>
      </c>
      <c r="E26" s="3" t="s">
        <v>24</v>
      </c>
      <c r="F26" t="s">
        <v>62</v>
      </c>
      <c r="G26" s="2" t="s">
        <v>34</v>
      </c>
      <c r="H26" s="4"/>
    </row>
    <row r="27" spans="1:8" ht="15" thickBot="1" x14ac:dyDescent="0.35">
      <c r="A27" t="str">
        <f t="shared" si="0"/>
        <v>EWR936_MIA</v>
      </c>
      <c r="B27" s="5" t="s">
        <v>7</v>
      </c>
      <c r="C27" s="5" t="s">
        <v>43</v>
      </c>
      <c r="D27" s="5" t="s">
        <v>12</v>
      </c>
      <c r="E27" s="5" t="s">
        <v>12</v>
      </c>
      <c r="F27" t="s">
        <v>62</v>
      </c>
      <c r="G27" s="2" t="s">
        <v>34</v>
      </c>
      <c r="H27" s="6"/>
    </row>
    <row r="28" spans="1:8" ht="15" thickBot="1" x14ac:dyDescent="0.35">
      <c r="A28" t="str">
        <f t="shared" si="0"/>
        <v>EWR936_LAX16288</v>
      </c>
      <c r="B28" s="3" t="s">
        <v>7</v>
      </c>
      <c r="C28" s="3" t="s">
        <v>43</v>
      </c>
      <c r="D28" s="3" t="s">
        <v>16</v>
      </c>
      <c r="E28" s="3" t="s">
        <v>40</v>
      </c>
      <c r="F28" t="s">
        <v>62</v>
      </c>
      <c r="G28" s="2" t="s">
        <v>34</v>
      </c>
      <c r="H28" s="3" t="s">
        <v>48</v>
      </c>
    </row>
    <row r="29" spans="1:8" ht="15" thickBot="1" x14ac:dyDescent="0.35">
      <c r="A29" t="str">
        <f t="shared" si="0"/>
        <v>EWR936_EWR600</v>
      </c>
      <c r="B29" s="5" t="s">
        <v>7</v>
      </c>
      <c r="C29" s="5" t="s">
        <v>43</v>
      </c>
      <c r="D29" s="5" t="s">
        <v>7</v>
      </c>
      <c r="E29" s="5" t="s">
        <v>41</v>
      </c>
      <c r="F29" t="s">
        <v>63</v>
      </c>
      <c r="G29" s="2" t="s">
        <v>34</v>
      </c>
      <c r="H29" s="6"/>
    </row>
    <row r="30" spans="1:8" ht="15" thickBot="1" x14ac:dyDescent="0.35">
      <c r="A30" t="str">
        <f t="shared" si="0"/>
        <v>JFK175_EWR600</v>
      </c>
      <c r="B30" s="3" t="s">
        <v>7</v>
      </c>
      <c r="C30" s="3" t="s">
        <v>61</v>
      </c>
      <c r="D30" s="5" t="s">
        <v>7</v>
      </c>
      <c r="E30" s="3" t="s">
        <v>41</v>
      </c>
      <c r="F30" t="s">
        <v>63</v>
      </c>
      <c r="G30" s="2" t="s">
        <v>34</v>
      </c>
      <c r="H30" s="4"/>
    </row>
    <row r="31" spans="1:8" ht="15" thickBot="1" x14ac:dyDescent="0.35">
      <c r="A31" t="str">
        <f t="shared" si="0"/>
        <v>JFK175_EWR936</v>
      </c>
      <c r="B31" s="5" t="s">
        <v>7</v>
      </c>
      <c r="C31" s="5" t="s">
        <v>61</v>
      </c>
      <c r="D31" s="5" t="s">
        <v>7</v>
      </c>
      <c r="E31" s="5" t="s">
        <v>43</v>
      </c>
      <c r="F31" t="s">
        <v>63</v>
      </c>
      <c r="G31" s="2" t="s">
        <v>34</v>
      </c>
      <c r="H31" s="6"/>
    </row>
    <row r="32" spans="1:8" ht="15" thickBot="1" x14ac:dyDescent="0.35">
      <c r="A32" t="str">
        <f t="shared" si="0"/>
        <v>BAY_SEA</v>
      </c>
      <c r="B32" s="3" t="s">
        <v>22</v>
      </c>
      <c r="C32" s="3" t="s">
        <v>22</v>
      </c>
      <c r="D32" s="3" t="s">
        <v>26</v>
      </c>
      <c r="E32" s="3" t="s">
        <v>26</v>
      </c>
      <c r="F32" t="s">
        <v>62</v>
      </c>
      <c r="G32" s="2" t="s">
        <v>34</v>
      </c>
      <c r="H32" s="3" t="s">
        <v>49</v>
      </c>
    </row>
    <row r="33" spans="1:8" ht="18" customHeight="1" thickBot="1" x14ac:dyDescent="0.35">
      <c r="A33" t="str">
        <f t="shared" si="0"/>
        <v>BAY_LAX16288</v>
      </c>
      <c r="B33" s="5" t="s">
        <v>22</v>
      </c>
      <c r="C33" s="5" t="s">
        <v>22</v>
      </c>
      <c r="D33" s="5" t="s">
        <v>16</v>
      </c>
      <c r="E33" s="5" t="s">
        <v>40</v>
      </c>
      <c r="F33" t="s">
        <v>62</v>
      </c>
      <c r="G33" s="2" t="s">
        <v>34</v>
      </c>
      <c r="H33" s="5" t="s">
        <v>50</v>
      </c>
    </row>
    <row r="34" spans="1:8" ht="15" thickBot="1" x14ac:dyDescent="0.35">
      <c r="A34" t="str">
        <f t="shared" si="0"/>
        <v>DEN_DFW445</v>
      </c>
      <c r="B34" s="3" t="s">
        <v>28</v>
      </c>
      <c r="C34" s="3" t="s">
        <v>28</v>
      </c>
      <c r="D34" s="3" t="s">
        <v>19</v>
      </c>
      <c r="E34" s="5" t="s">
        <v>59</v>
      </c>
      <c r="F34" t="s">
        <v>62</v>
      </c>
      <c r="G34" s="2" t="s">
        <v>34</v>
      </c>
      <c r="H34" s="4"/>
    </row>
    <row r="35" spans="1:8" ht="15" thickBot="1" x14ac:dyDescent="0.35">
      <c r="A35" t="str">
        <f t="shared" si="0"/>
        <v>DEN_LAX16288</v>
      </c>
      <c r="B35" s="5" t="s">
        <v>28</v>
      </c>
      <c r="C35" s="5" t="s">
        <v>28</v>
      </c>
      <c r="D35" s="5" t="s">
        <v>16</v>
      </c>
      <c r="E35" s="5" t="s">
        <v>40</v>
      </c>
      <c r="F35" t="s">
        <v>62</v>
      </c>
      <c r="G35" s="2" t="s">
        <v>34</v>
      </c>
      <c r="H35" s="6"/>
    </row>
    <row r="36" spans="1:8" ht="15" thickBot="1" x14ac:dyDescent="0.35">
      <c r="A36" t="str">
        <f t="shared" si="0"/>
        <v>SLC_DEN</v>
      </c>
      <c r="B36" s="3" t="s">
        <v>28</v>
      </c>
      <c r="C36" s="3" t="s">
        <v>30</v>
      </c>
      <c r="D36" s="3" t="s">
        <v>28</v>
      </c>
      <c r="E36" s="3" t="s">
        <v>28</v>
      </c>
      <c r="F36" t="s">
        <v>63</v>
      </c>
      <c r="G36" s="2" t="s">
        <v>34</v>
      </c>
      <c r="H36" s="4"/>
    </row>
    <row r="37" spans="1:8" ht="15" thickBot="1" x14ac:dyDescent="0.35">
      <c r="A37" t="str">
        <f t="shared" si="0"/>
        <v>ORD_LAX16288</v>
      </c>
      <c r="B37" s="5" t="s">
        <v>14</v>
      </c>
      <c r="C37" s="5" t="s">
        <v>14</v>
      </c>
      <c r="D37" s="5" t="s">
        <v>16</v>
      </c>
      <c r="E37" s="5" t="s">
        <v>40</v>
      </c>
      <c r="F37" t="s">
        <v>62</v>
      </c>
      <c r="G37" s="2" t="s">
        <v>34</v>
      </c>
      <c r="H37" s="5" t="s">
        <v>51</v>
      </c>
    </row>
    <row r="38" spans="1:8" ht="15" thickBot="1" x14ac:dyDescent="0.35">
      <c r="A38" t="str">
        <f t="shared" si="0"/>
        <v>ORD_MIA</v>
      </c>
      <c r="B38" s="3" t="s">
        <v>14</v>
      </c>
      <c r="C38" s="3" t="s">
        <v>14</v>
      </c>
      <c r="D38" s="3" t="s">
        <v>12</v>
      </c>
      <c r="E38" s="3" t="s">
        <v>12</v>
      </c>
      <c r="F38" t="s">
        <v>62</v>
      </c>
      <c r="G38" s="2" t="s">
        <v>34</v>
      </c>
      <c r="H38" s="4"/>
    </row>
    <row r="39" spans="1:8" ht="15" thickBot="1" x14ac:dyDescent="0.35">
      <c r="A39" t="str">
        <f t="shared" si="0"/>
        <v>ORD_DFW445</v>
      </c>
      <c r="B39" s="5" t="s">
        <v>14</v>
      </c>
      <c r="C39" s="5" t="s">
        <v>14</v>
      </c>
      <c r="D39" s="5" t="s">
        <v>19</v>
      </c>
      <c r="E39" s="5" t="s">
        <v>59</v>
      </c>
      <c r="F39" t="s">
        <v>62</v>
      </c>
      <c r="G39" s="2" t="s">
        <v>34</v>
      </c>
      <c r="H39" s="5" t="s">
        <v>52</v>
      </c>
    </row>
    <row r="40" spans="1:8" ht="15" thickBot="1" x14ac:dyDescent="0.35">
      <c r="A40" t="str">
        <f t="shared" si="0"/>
        <v>ORD_EWR600</v>
      </c>
      <c r="B40" s="3" t="s">
        <v>14</v>
      </c>
      <c r="C40" s="3" t="s">
        <v>14</v>
      </c>
      <c r="D40" s="3" t="s">
        <v>7</v>
      </c>
      <c r="E40" s="3" t="s">
        <v>41</v>
      </c>
      <c r="F40" t="s">
        <v>62</v>
      </c>
      <c r="G40" s="2" t="s">
        <v>34</v>
      </c>
      <c r="H40" s="4"/>
    </row>
    <row r="41" spans="1:8" ht="15" thickBot="1" x14ac:dyDescent="0.35">
      <c r="A41" t="str">
        <f t="shared" si="0"/>
        <v>ORD_ATL</v>
      </c>
      <c r="B41" s="5" t="s">
        <v>14</v>
      </c>
      <c r="C41" s="5" t="s">
        <v>14</v>
      </c>
      <c r="D41" s="5" t="s">
        <v>24</v>
      </c>
      <c r="E41" s="5" t="s">
        <v>24</v>
      </c>
      <c r="F41" t="s">
        <v>62</v>
      </c>
      <c r="G41" s="2" t="s">
        <v>34</v>
      </c>
      <c r="H41" s="6"/>
    </row>
    <row r="42" spans="1:8" ht="15" thickBot="1" x14ac:dyDescent="0.35">
      <c r="A42" t="str">
        <f t="shared" si="0"/>
        <v>DFW445_ATL</v>
      </c>
      <c r="B42" s="3" t="s">
        <v>19</v>
      </c>
      <c r="C42" s="5" t="s">
        <v>59</v>
      </c>
      <c r="D42" s="3" t="s">
        <v>24</v>
      </c>
      <c r="E42" s="3" t="s">
        <v>24</v>
      </c>
      <c r="F42" t="s">
        <v>62</v>
      </c>
      <c r="G42" s="2" t="s">
        <v>34</v>
      </c>
      <c r="H42" s="3" t="s">
        <v>53</v>
      </c>
    </row>
    <row r="43" spans="1:8" ht="15" thickBot="1" x14ac:dyDescent="0.35">
      <c r="A43" t="str">
        <f t="shared" si="0"/>
        <v>DFW445_LAX16288</v>
      </c>
      <c r="B43" s="5" t="s">
        <v>19</v>
      </c>
      <c r="C43" s="5" t="s">
        <v>59</v>
      </c>
      <c r="D43" s="5" t="s">
        <v>16</v>
      </c>
      <c r="E43" s="5" t="s">
        <v>40</v>
      </c>
      <c r="F43" t="s">
        <v>62</v>
      </c>
      <c r="G43" s="2" t="s">
        <v>34</v>
      </c>
      <c r="H43" s="5" t="s">
        <v>54</v>
      </c>
    </row>
    <row r="44" spans="1:8" ht="15" thickBot="1" x14ac:dyDescent="0.35">
      <c r="A44" t="str">
        <f t="shared" si="0"/>
        <v>DFW445_ORD</v>
      </c>
      <c r="B44" s="3" t="s">
        <v>19</v>
      </c>
      <c r="C44" s="5" t="s">
        <v>59</v>
      </c>
      <c r="D44" s="3" t="s">
        <v>14</v>
      </c>
      <c r="E44" s="3" t="s">
        <v>14</v>
      </c>
      <c r="F44" t="s">
        <v>62</v>
      </c>
      <c r="G44" s="2" t="s">
        <v>34</v>
      </c>
      <c r="H44" s="4"/>
    </row>
    <row r="45" spans="1:8" ht="15" thickBot="1" x14ac:dyDescent="0.35">
      <c r="A45" t="str">
        <f t="shared" si="0"/>
        <v>DFW445_MIA</v>
      </c>
      <c r="B45" s="5" t="s">
        <v>19</v>
      </c>
      <c r="C45" s="5" t="s">
        <v>59</v>
      </c>
      <c r="D45" s="5" t="s">
        <v>12</v>
      </c>
      <c r="E45" s="5" t="s">
        <v>12</v>
      </c>
      <c r="F45" t="s">
        <v>62</v>
      </c>
      <c r="G45" s="2" t="s">
        <v>34</v>
      </c>
      <c r="H45" s="6"/>
    </row>
    <row r="46" spans="1:8" ht="15" thickBot="1" x14ac:dyDescent="0.35">
      <c r="A46" t="str">
        <f t="shared" si="0"/>
        <v>DFW445_EWR600</v>
      </c>
      <c r="B46" s="3" t="s">
        <v>19</v>
      </c>
      <c r="C46" s="5" t="s">
        <v>59</v>
      </c>
      <c r="D46" s="3" t="s">
        <v>7</v>
      </c>
      <c r="E46" s="3" t="s">
        <v>41</v>
      </c>
      <c r="F46" t="s">
        <v>62</v>
      </c>
      <c r="G46" s="2" t="s">
        <v>34</v>
      </c>
      <c r="H46" s="4"/>
    </row>
    <row r="47" spans="1:8" ht="15" thickBot="1" x14ac:dyDescent="0.35">
      <c r="A47" t="str">
        <f t="shared" si="0"/>
        <v>DFW445_DEN</v>
      </c>
      <c r="B47" s="5" t="s">
        <v>19</v>
      </c>
      <c r="C47" s="5" t="s">
        <v>59</v>
      </c>
      <c r="D47" s="5" t="s">
        <v>28</v>
      </c>
      <c r="E47" s="5" t="s">
        <v>28</v>
      </c>
      <c r="F47" t="s">
        <v>62</v>
      </c>
      <c r="G47" s="2" t="s">
        <v>34</v>
      </c>
      <c r="H47" s="5" t="s">
        <v>55</v>
      </c>
    </row>
    <row r="48" spans="1:8" ht="15" thickBot="1" x14ac:dyDescent="0.35">
      <c r="A48" t="str">
        <f t="shared" si="0"/>
        <v>IAH129_EWR600</v>
      </c>
      <c r="B48" s="5" t="s">
        <v>19</v>
      </c>
      <c r="C48" s="3" t="s">
        <v>60</v>
      </c>
      <c r="D48" s="3" t="s">
        <v>7</v>
      </c>
      <c r="E48" s="3" t="s">
        <v>41</v>
      </c>
      <c r="F48" t="s">
        <v>62</v>
      </c>
      <c r="G48" s="2" t="s">
        <v>34</v>
      </c>
      <c r="H48" s="4"/>
    </row>
    <row r="49" spans="1:8" ht="15" thickBot="1" x14ac:dyDescent="0.35">
      <c r="A49" t="str">
        <f t="shared" si="0"/>
        <v>IAH129_MIA</v>
      </c>
      <c r="B49" s="5" t="s">
        <v>19</v>
      </c>
      <c r="C49" s="3" t="s">
        <v>60</v>
      </c>
      <c r="D49" s="5" t="s">
        <v>12</v>
      </c>
      <c r="E49" s="5" t="s">
        <v>12</v>
      </c>
      <c r="F49" t="s">
        <v>62</v>
      </c>
      <c r="G49" s="2" t="s">
        <v>34</v>
      </c>
      <c r="H49" s="6"/>
    </row>
    <row r="50" spans="1:8" ht="15" thickBot="1" x14ac:dyDescent="0.35">
      <c r="A50" t="str">
        <f t="shared" si="0"/>
        <v>IAH129_ATL</v>
      </c>
      <c r="B50" s="5" t="s">
        <v>19</v>
      </c>
      <c r="C50" s="3" t="s">
        <v>60</v>
      </c>
      <c r="D50" s="3" t="s">
        <v>24</v>
      </c>
      <c r="E50" s="3" t="s">
        <v>24</v>
      </c>
      <c r="F50" t="s">
        <v>62</v>
      </c>
      <c r="G50" s="2" t="s">
        <v>34</v>
      </c>
      <c r="H50" s="4"/>
    </row>
    <row r="51" spans="1:8" ht="15" thickBot="1" x14ac:dyDescent="0.35">
      <c r="A51" t="str">
        <f t="shared" si="0"/>
        <v>IAH129_ORD</v>
      </c>
      <c r="B51" s="5" t="s">
        <v>19</v>
      </c>
      <c r="C51" s="3" t="s">
        <v>60</v>
      </c>
      <c r="D51" s="5" t="s">
        <v>14</v>
      </c>
      <c r="E51" s="5" t="s">
        <v>14</v>
      </c>
      <c r="F51" t="s">
        <v>62</v>
      </c>
      <c r="G51" s="2" t="s">
        <v>34</v>
      </c>
      <c r="H51" s="6"/>
    </row>
    <row r="52" spans="1:8" ht="15" thickBot="1" x14ac:dyDescent="0.35">
      <c r="A52" t="str">
        <f t="shared" si="0"/>
        <v>IAH129_EWR600</v>
      </c>
      <c r="B52" s="5" t="s">
        <v>19</v>
      </c>
      <c r="C52" s="3" t="s">
        <v>60</v>
      </c>
      <c r="D52" s="3" t="s">
        <v>7</v>
      </c>
      <c r="E52" s="3" t="s">
        <v>41</v>
      </c>
      <c r="F52" t="s">
        <v>62</v>
      </c>
      <c r="G52" s="2" t="s">
        <v>34</v>
      </c>
      <c r="H52" s="4"/>
    </row>
    <row r="53" spans="1:8" ht="15" thickBot="1" x14ac:dyDescent="0.35">
      <c r="A53" t="str">
        <f t="shared" si="0"/>
        <v>IAH129_LAX16288</v>
      </c>
      <c r="B53" s="5" t="s">
        <v>19</v>
      </c>
      <c r="C53" s="3" t="s">
        <v>60</v>
      </c>
      <c r="D53" s="5" t="s">
        <v>16</v>
      </c>
      <c r="E53" s="5" t="s">
        <v>40</v>
      </c>
      <c r="F53" t="s">
        <v>62</v>
      </c>
      <c r="G53" s="2" t="s">
        <v>34</v>
      </c>
      <c r="H53" s="5" t="s">
        <v>54</v>
      </c>
    </row>
    <row r="54" spans="1:8" ht="15" thickBot="1" x14ac:dyDescent="0.35">
      <c r="A54" t="str">
        <f t="shared" si="0"/>
        <v>IAH129_DFW445</v>
      </c>
      <c r="B54" s="5" t="s">
        <v>19</v>
      </c>
      <c r="C54" s="3" t="s">
        <v>60</v>
      </c>
      <c r="D54" s="3" t="s">
        <v>19</v>
      </c>
      <c r="E54" s="5" t="s">
        <v>59</v>
      </c>
      <c r="F54" t="s">
        <v>63</v>
      </c>
      <c r="G54" s="2" t="s">
        <v>34</v>
      </c>
      <c r="H54" s="3" t="s">
        <v>56</v>
      </c>
    </row>
    <row r="55" spans="1:8" ht="15" thickBot="1" x14ac:dyDescent="0.35">
      <c r="A55" t="str">
        <f t="shared" si="0"/>
        <v>MIA_EWR600</v>
      </c>
      <c r="B55" s="5" t="s">
        <v>12</v>
      </c>
      <c r="C55" s="2" t="s">
        <v>12</v>
      </c>
      <c r="D55" s="5" t="s">
        <v>7</v>
      </c>
      <c r="E55" s="5" t="s">
        <v>41</v>
      </c>
      <c r="F55" t="s">
        <v>62</v>
      </c>
      <c r="G55" s="2" t="s">
        <v>34</v>
      </c>
      <c r="H55" s="6"/>
    </row>
    <row r="56" spans="1:8" ht="15" thickBot="1" x14ac:dyDescent="0.35">
      <c r="A56" t="str">
        <f t="shared" si="0"/>
        <v>MIA_ATL</v>
      </c>
      <c r="B56" s="3" t="s">
        <v>12</v>
      </c>
      <c r="C56" s="2" t="s">
        <v>12</v>
      </c>
      <c r="D56" s="3" t="s">
        <v>24</v>
      </c>
      <c r="E56" s="3" t="s">
        <v>24</v>
      </c>
      <c r="F56" t="s">
        <v>62</v>
      </c>
      <c r="G56" s="2" t="s">
        <v>34</v>
      </c>
      <c r="H56" s="3" t="s">
        <v>57</v>
      </c>
    </row>
    <row r="57" spans="1:8" ht="15" thickBot="1" x14ac:dyDescent="0.35">
      <c r="A57" t="str">
        <f t="shared" si="0"/>
        <v>SEA_LAX16288</v>
      </c>
      <c r="B57" s="5" t="s">
        <v>26</v>
      </c>
      <c r="C57" s="5" t="s">
        <v>26</v>
      </c>
      <c r="D57" s="5" t="s">
        <v>16</v>
      </c>
      <c r="E57" s="5" t="s">
        <v>40</v>
      </c>
      <c r="F57" t="s">
        <v>62</v>
      </c>
      <c r="G57" s="2" t="s">
        <v>34</v>
      </c>
      <c r="H57" s="5" t="s">
        <v>58</v>
      </c>
    </row>
  </sheetData>
  <autoFilter ref="B1:J57" xr:uid="{8185CA26-33FC-4CC0-915B-9AA07062978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6946-B7C6-49D1-BA27-8EC04E2EAD98}">
  <dimension ref="A1:B38"/>
  <sheetViews>
    <sheetView workbookViewId="0">
      <selection activeCell="G12" sqref="G12"/>
    </sheetView>
  </sheetViews>
  <sheetFormatPr defaultRowHeight="14.4" x14ac:dyDescent="0.3"/>
  <cols>
    <col min="1" max="1" width="11.88671875" bestFit="1" customWidth="1"/>
    <col min="2" max="2" width="16.5546875" bestFit="1" customWidth="1"/>
  </cols>
  <sheetData>
    <row r="1" spans="1:2" x14ac:dyDescent="0.3">
      <c r="A1" s="7" t="s">
        <v>0</v>
      </c>
      <c r="B1" s="7" t="s">
        <v>37</v>
      </c>
    </row>
    <row r="2" spans="1:2" x14ac:dyDescent="0.3">
      <c r="A2" s="8" t="s">
        <v>16</v>
      </c>
      <c r="B2" s="8" t="s">
        <v>7</v>
      </c>
    </row>
    <row r="3" spans="1:2" x14ac:dyDescent="0.3">
      <c r="A3" s="8" t="s">
        <v>16</v>
      </c>
      <c r="B3" s="8" t="s">
        <v>14</v>
      </c>
    </row>
    <row r="4" spans="1:2" x14ac:dyDescent="0.3">
      <c r="A4" s="8" t="s">
        <v>16</v>
      </c>
      <c r="B4" s="8" t="s">
        <v>19</v>
      </c>
    </row>
    <row r="5" spans="1:2" x14ac:dyDescent="0.3">
      <c r="A5" s="8" t="s">
        <v>16</v>
      </c>
      <c r="B5" s="8" t="s">
        <v>24</v>
      </c>
    </row>
    <row r="6" spans="1:2" x14ac:dyDescent="0.3">
      <c r="A6" s="8" t="s">
        <v>16</v>
      </c>
      <c r="B6" s="8" t="s">
        <v>12</v>
      </c>
    </row>
    <row r="7" spans="1:2" x14ac:dyDescent="0.3">
      <c r="A7" s="8" t="s">
        <v>16</v>
      </c>
      <c r="B7" s="8" t="s">
        <v>26</v>
      </c>
    </row>
    <row r="8" spans="1:2" x14ac:dyDescent="0.3">
      <c r="A8" s="8" t="s">
        <v>16</v>
      </c>
      <c r="B8" s="8" t="s">
        <v>22</v>
      </c>
    </row>
    <row r="9" spans="1:2" x14ac:dyDescent="0.3">
      <c r="A9" s="8" t="s">
        <v>16</v>
      </c>
      <c r="B9" s="8" t="s">
        <v>28</v>
      </c>
    </row>
    <row r="10" spans="1:2" x14ac:dyDescent="0.3">
      <c r="A10" s="8" t="s">
        <v>16</v>
      </c>
      <c r="B10" s="8" t="s">
        <v>30</v>
      </c>
    </row>
    <row r="11" spans="1:2" x14ac:dyDescent="0.3">
      <c r="A11" s="8" t="s">
        <v>24</v>
      </c>
      <c r="B11" s="8" t="s">
        <v>7</v>
      </c>
    </row>
    <row r="12" spans="1:2" x14ac:dyDescent="0.3">
      <c r="A12" s="8" t="s">
        <v>24</v>
      </c>
      <c r="B12" s="8" t="s">
        <v>16</v>
      </c>
    </row>
    <row r="13" spans="1:2" x14ac:dyDescent="0.3">
      <c r="A13" s="8" t="s">
        <v>24</v>
      </c>
      <c r="B13" s="8" t="s">
        <v>19</v>
      </c>
    </row>
    <row r="14" spans="1:2" x14ac:dyDescent="0.3">
      <c r="A14" s="8" t="s">
        <v>24</v>
      </c>
      <c r="B14" s="8" t="s">
        <v>12</v>
      </c>
    </row>
    <row r="15" spans="1:2" x14ac:dyDescent="0.3">
      <c r="A15" s="8" t="s">
        <v>24</v>
      </c>
      <c r="B15" s="8" t="s">
        <v>14</v>
      </c>
    </row>
    <row r="16" spans="1:2" x14ac:dyDescent="0.3">
      <c r="A16" s="8" t="s">
        <v>7</v>
      </c>
      <c r="B16" s="8" t="s">
        <v>14</v>
      </c>
    </row>
    <row r="17" spans="1:2" x14ac:dyDescent="0.3">
      <c r="A17" s="8" t="s">
        <v>7</v>
      </c>
      <c r="B17" s="8" t="s">
        <v>19</v>
      </c>
    </row>
    <row r="18" spans="1:2" x14ac:dyDescent="0.3">
      <c r="A18" s="8" t="s">
        <v>7</v>
      </c>
      <c r="B18" s="8" t="s">
        <v>24</v>
      </c>
    </row>
    <row r="19" spans="1:2" x14ac:dyDescent="0.3">
      <c r="A19" s="8" t="s">
        <v>7</v>
      </c>
      <c r="B19" s="8" t="s">
        <v>12</v>
      </c>
    </row>
    <row r="20" spans="1:2" x14ac:dyDescent="0.3">
      <c r="A20" s="8" t="s">
        <v>7</v>
      </c>
      <c r="B20" s="8" t="s">
        <v>16</v>
      </c>
    </row>
    <row r="21" spans="1:2" x14ac:dyDescent="0.3">
      <c r="A21" s="8" t="s">
        <v>22</v>
      </c>
      <c r="B21" s="8" t="s">
        <v>26</v>
      </c>
    </row>
    <row r="22" spans="1:2" x14ac:dyDescent="0.3">
      <c r="A22" s="8" t="s">
        <v>22</v>
      </c>
      <c r="B22" s="8" t="s">
        <v>16</v>
      </c>
    </row>
    <row r="23" spans="1:2" x14ac:dyDescent="0.3">
      <c r="A23" s="8" t="s">
        <v>28</v>
      </c>
      <c r="B23" s="8" t="s">
        <v>19</v>
      </c>
    </row>
    <row r="24" spans="1:2" x14ac:dyDescent="0.3">
      <c r="A24" s="8" t="s">
        <v>28</v>
      </c>
      <c r="B24" s="8" t="s">
        <v>16</v>
      </c>
    </row>
    <row r="25" spans="1:2" x14ac:dyDescent="0.3">
      <c r="A25" s="8" t="s">
        <v>14</v>
      </c>
      <c r="B25" s="8" t="s">
        <v>16</v>
      </c>
    </row>
    <row r="26" spans="1:2" x14ac:dyDescent="0.3">
      <c r="A26" s="8" t="s">
        <v>14</v>
      </c>
      <c r="B26" s="8" t="s">
        <v>12</v>
      </c>
    </row>
    <row r="27" spans="1:2" x14ac:dyDescent="0.3">
      <c r="A27" s="8" t="s">
        <v>14</v>
      </c>
      <c r="B27" s="8" t="s">
        <v>19</v>
      </c>
    </row>
    <row r="28" spans="1:2" x14ac:dyDescent="0.3">
      <c r="A28" s="8" t="s">
        <v>14</v>
      </c>
      <c r="B28" s="8" t="s">
        <v>7</v>
      </c>
    </row>
    <row r="29" spans="1:2" x14ac:dyDescent="0.3">
      <c r="A29" s="8" t="s">
        <v>14</v>
      </c>
      <c r="B29" s="8" t="s">
        <v>24</v>
      </c>
    </row>
    <row r="30" spans="1:2" x14ac:dyDescent="0.3">
      <c r="A30" s="8" t="s">
        <v>19</v>
      </c>
      <c r="B30" s="8" t="s">
        <v>24</v>
      </c>
    </row>
    <row r="31" spans="1:2" x14ac:dyDescent="0.3">
      <c r="A31" s="8" t="s">
        <v>19</v>
      </c>
      <c r="B31" s="8" t="s">
        <v>16</v>
      </c>
    </row>
    <row r="32" spans="1:2" x14ac:dyDescent="0.3">
      <c r="A32" s="8" t="s">
        <v>19</v>
      </c>
      <c r="B32" s="8" t="s">
        <v>14</v>
      </c>
    </row>
    <row r="33" spans="1:2" x14ac:dyDescent="0.3">
      <c r="A33" s="8" t="s">
        <v>19</v>
      </c>
      <c r="B33" s="8" t="s">
        <v>12</v>
      </c>
    </row>
    <row r="34" spans="1:2" x14ac:dyDescent="0.3">
      <c r="A34" s="8" t="s">
        <v>19</v>
      </c>
      <c r="B34" s="8" t="s">
        <v>7</v>
      </c>
    </row>
    <row r="35" spans="1:2" x14ac:dyDescent="0.3">
      <c r="A35" s="8" t="s">
        <v>19</v>
      </c>
      <c r="B35" s="8" t="s">
        <v>28</v>
      </c>
    </row>
    <row r="36" spans="1:2" x14ac:dyDescent="0.3">
      <c r="A36" s="8" t="s">
        <v>12</v>
      </c>
      <c r="B36" s="8" t="s">
        <v>7</v>
      </c>
    </row>
    <row r="37" spans="1:2" x14ac:dyDescent="0.3">
      <c r="A37" s="8" t="s">
        <v>12</v>
      </c>
      <c r="B37" s="8" t="s">
        <v>24</v>
      </c>
    </row>
    <row r="38" spans="1:2" x14ac:dyDescent="0.3">
      <c r="A38" s="8" t="s">
        <v>26</v>
      </c>
      <c r="B38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Hub_Master</vt:lpstr>
      <vt:lpstr>Route_Master</vt:lpstr>
      <vt:lpstr>Region_Route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Han</dc:creator>
  <cp:lastModifiedBy>Chris Han</cp:lastModifiedBy>
  <dcterms:created xsi:type="dcterms:W3CDTF">2026-05-30T00:40:45Z</dcterms:created>
  <dcterms:modified xsi:type="dcterms:W3CDTF">2026-06-02T06:36:03Z</dcterms:modified>
</cp:coreProperties>
</file>